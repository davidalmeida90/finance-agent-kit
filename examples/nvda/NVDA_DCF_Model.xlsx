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vid\Financial_models\deepseek-harness2\finance-agent-kit\examples\nvda\"/>
    </mc:Choice>
  </mc:AlternateContent>
  <xr:revisionPtr revIDLastSave="0" documentId="13_ncr:1_{EE44567F-2010-4523-8084-C6E7B158422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CF" sheetId="1" r:id="rId1"/>
    <sheet name="Comp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" l="1"/>
  <c r="G14" i="2"/>
  <c r="H13" i="2"/>
  <c r="G13" i="2"/>
  <c r="I11" i="2"/>
  <c r="I10" i="2"/>
  <c r="I9" i="2"/>
  <c r="I8" i="2"/>
  <c r="I7" i="2"/>
  <c r="I14" i="2" s="1"/>
  <c r="I6" i="2"/>
  <c r="F85" i="1"/>
  <c r="E85" i="1"/>
  <c r="D85" i="1"/>
  <c r="C85" i="1"/>
  <c r="B85" i="1"/>
  <c r="G63" i="1"/>
  <c r="F63" i="1"/>
  <c r="E63" i="1"/>
  <c r="D63" i="1"/>
  <c r="C63" i="1"/>
  <c r="G55" i="1"/>
  <c r="F55" i="1"/>
  <c r="E55" i="1"/>
  <c r="D55" i="1"/>
  <c r="C55" i="1"/>
  <c r="B54" i="1"/>
  <c r="C54" i="1" s="1"/>
  <c r="G53" i="1"/>
  <c r="F53" i="1"/>
  <c r="E53" i="1"/>
  <c r="D53" i="1"/>
  <c r="C53" i="1"/>
  <c r="B46" i="1"/>
  <c r="B44" i="1"/>
  <c r="F23" i="1"/>
  <c r="E23" i="1"/>
  <c r="D23" i="1"/>
  <c r="C23" i="1"/>
  <c r="F22" i="1"/>
  <c r="E22" i="1"/>
  <c r="D22" i="1"/>
  <c r="C22" i="1"/>
  <c r="B22" i="1"/>
  <c r="F21" i="1"/>
  <c r="E21" i="1"/>
  <c r="D21" i="1"/>
  <c r="C21" i="1"/>
  <c r="B21" i="1"/>
  <c r="B11" i="1"/>
  <c r="B76" i="1" s="1"/>
  <c r="B8" i="1"/>
  <c r="B12" i="1" s="1"/>
  <c r="I13" i="2" l="1"/>
  <c r="C59" i="1"/>
  <c r="C61" i="1"/>
  <c r="D54" i="1"/>
  <c r="C60" i="1"/>
  <c r="C56" i="1"/>
  <c r="B48" i="1"/>
  <c r="B47" i="1"/>
  <c r="B49" i="1" s="1"/>
  <c r="A90" i="1" l="1"/>
  <c r="A87" i="1"/>
  <c r="A86" i="1"/>
  <c r="F64" i="1"/>
  <c r="A88" i="1"/>
  <c r="G64" i="1"/>
  <c r="D64" i="1"/>
  <c r="A89" i="1"/>
  <c r="E64" i="1"/>
  <c r="C64" i="1"/>
  <c r="E54" i="1"/>
  <c r="D60" i="1"/>
  <c r="D61" i="1"/>
  <c r="D56" i="1"/>
  <c r="D59" i="1"/>
  <c r="C58" i="1"/>
  <c r="C62" i="1" s="1"/>
  <c r="C57" i="1"/>
  <c r="C65" i="1" l="1"/>
  <c r="D57" i="1"/>
  <c r="D58" i="1" s="1"/>
  <c r="D62" i="1" s="1"/>
  <c r="E60" i="1"/>
  <c r="E56" i="1"/>
  <c r="E59" i="1"/>
  <c r="E61" i="1"/>
  <c r="F54" i="1"/>
  <c r="D65" i="1" l="1"/>
  <c r="E57" i="1"/>
  <c r="E58" i="1" s="1"/>
  <c r="E62" i="1" s="1"/>
  <c r="F61" i="1"/>
  <c r="G54" i="1"/>
  <c r="F60" i="1"/>
  <c r="F56" i="1"/>
  <c r="F59" i="1"/>
  <c r="E65" i="1" l="1"/>
  <c r="G61" i="1"/>
  <c r="G59" i="1"/>
  <c r="G60" i="1"/>
  <c r="G56" i="1"/>
  <c r="F57" i="1"/>
  <c r="F58" i="1" s="1"/>
  <c r="F62" i="1" s="1"/>
  <c r="F65" i="1" s="1"/>
  <c r="B71" i="1" l="1"/>
  <c r="B72" i="1" s="1"/>
  <c r="B73" i="1" s="1"/>
  <c r="G57" i="1"/>
  <c r="G58" i="1" s="1"/>
  <c r="G62" i="1" s="1"/>
  <c r="B69" i="1" l="1"/>
  <c r="B70" i="1" s="1"/>
  <c r="G65" i="1"/>
  <c r="B68" i="1" s="1"/>
  <c r="B86" i="1"/>
  <c r="E87" i="1"/>
  <c r="B88" i="1"/>
  <c r="C87" i="1"/>
  <c r="F90" i="1"/>
  <c r="C90" i="1"/>
  <c r="D88" i="1"/>
  <c r="E89" i="1"/>
  <c r="C88" i="1"/>
  <c r="D87" i="1"/>
  <c r="C89" i="1"/>
  <c r="B89" i="1"/>
  <c r="B90" i="1"/>
  <c r="C86" i="1"/>
  <c r="E88" i="1"/>
  <c r="D90" i="1"/>
  <c r="B87" i="1"/>
  <c r="D89" i="1"/>
  <c r="F89" i="1"/>
  <c r="E90" i="1"/>
  <c r="F88" i="1"/>
  <c r="F87" i="1"/>
  <c r="F86" i="1"/>
  <c r="D86" i="1"/>
  <c r="E86" i="1"/>
  <c r="B75" i="1" l="1"/>
  <c r="B78" i="1" s="1"/>
  <c r="B80" i="1" s="1"/>
  <c r="B74" i="1"/>
  <c r="B77" i="1" s="1"/>
  <c r="B79" i="1" s="1"/>
  <c r="B81" i="1" s="1"/>
  <c r="B8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dcf-model</author>
  </authors>
  <commentList>
    <comment ref="B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Source: Yahoo Finance close, 2026-09-04</t>
        </r>
      </text>
    </comment>
    <comment ref="B7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Source: FY2026 10-K, WeightedAverageNumberOfDilutedSharesOutstanding</t>
        </r>
      </text>
    </comment>
    <comment ref="B9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Source: FY2026 10-K: LongTermDebtNoncurrent 7,469 + LongTermDebtCurrent 999</t>
        </r>
      </text>
    </comment>
    <comment ref="B10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Source: FY2026 10-K: CashAndCashEquivalentsAtCarryingValue</t>
        </r>
      </text>
    </comment>
    <comment ref="B1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Source: SEC XBRL via sec-edgar MCP (FY2023-FY2026 10-K)</t>
        </r>
      </text>
    </comment>
    <comment ref="C16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Source: SEC XBRL via sec-edgar MCP (FY2023-FY2026 10-K)</t>
        </r>
      </text>
    </comment>
    <comment ref="D16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Source: SEC XBRL via sec-edgar MCP (FY2023-FY2026 10-K)</t>
        </r>
      </text>
    </comment>
    <comment ref="E16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Source: SEC XBRL via sec-edgar MCP (FY2023-FY2026 10-K)</t>
        </r>
      </text>
    </comment>
    <comment ref="F16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Source: TTM = Q2 FY27 10-Q + three prior quarters, sec-edgar + Yahoo quarterly</t>
        </r>
      </text>
    </comment>
    <comment ref="B17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Source: SEC XBRL via sec-edgar MCP (FY2023-FY2026 10-K)</t>
        </r>
      </text>
    </comment>
    <comment ref="C17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Source: SEC XBRL via sec-edgar MCP (FY2023-FY2026 10-K)</t>
        </r>
      </text>
    </comment>
    <comment ref="D17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Source: SEC XBRL via sec-edgar MCP (FY2023-FY2026 10-K)</t>
        </r>
      </text>
    </comment>
    <comment ref="E1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Source: SEC XBRL via sec-edgar MCP (FY2023-FY2026 10-K)</t>
        </r>
      </text>
    </comment>
    <comment ref="F17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Source: TTM = Q2 FY27 10-Q + three prior quarters, sec-edgar + Yahoo quarterly</t>
        </r>
      </text>
    </comment>
    <comment ref="B18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Source: SEC XBRL via sec-edgar MCP (FY2023-FY2026 10-K)</t>
        </r>
      </text>
    </comment>
    <comment ref="C18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Source: SEC XBRL via sec-edgar MCP (FY2023-FY2026 10-K)</t>
        </r>
      </text>
    </comment>
    <comment ref="D18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Source: SEC XBRL via sec-edgar MCP (FY2023-FY2026 10-K)</t>
        </r>
      </text>
    </comment>
    <comment ref="E18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Source: SEC XBRL via sec-edgar MCP (FY2023-FY2026 10-K)</t>
        </r>
      </text>
    </comment>
    <comment ref="F18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Source: TTM = Q2 FY27 10-Q + three prior quarters, sec-edgar + Yahoo quarterly</t>
        </r>
      </text>
    </comment>
    <comment ref="B19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Source: SEC XBRL via sec-edgar MCP (FY2023-FY2026 10-K)</t>
        </r>
      </text>
    </comment>
    <comment ref="C19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Source: SEC XBRL via sec-edgar MCP (FY2023-FY2026 10-K)</t>
        </r>
      </text>
    </comment>
    <comment ref="D19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Source: SEC XBRL via sec-edgar MCP (FY2023-FY2026 10-K)</t>
        </r>
      </text>
    </comment>
    <comment ref="E19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Source: SEC XBRL via sec-edgar MCP (FY2023-FY2026 10-K)</t>
        </r>
      </text>
    </comment>
    <comment ref="F19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Source: TTM = Q2 FY27 10-Q + three prior quarters, sec-edgar + Yahoo quarterly</t>
        </r>
      </text>
    </comment>
    <comment ref="B20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Source: SEC XBRL via sec-edgar MCP (FY2023-FY2026 10-K)</t>
        </r>
      </text>
    </comment>
    <comment ref="C20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Source: SEC XBRL via sec-edgar MCP (FY2023-FY2026 10-K)</t>
        </r>
      </text>
    </comment>
    <comment ref="D20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Source: SEC XBRL via sec-edgar MCP (FY2023-FY2026 10-K)</t>
        </r>
      </text>
    </comment>
    <comment ref="E20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Source: SEC XBRL via sec-edgar MCP (FY2023-FY2026 10-K)</t>
        </r>
      </text>
    </comment>
    <comment ref="F20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Source: TTM = Q2 FY27 10-Q + three prior quarters, sec-edgar + Yahoo quarterly</t>
        </r>
      </text>
    </comment>
    <comment ref="B26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Source: Analyst input; 2 = Base case</t>
        </r>
      </text>
    </comment>
    <comment ref="B27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Source: dcf-model skill guidance: 2-3% for mature technology</t>
        </r>
      </text>
    </comment>
    <comment ref="B28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Source: FY2026 effective 15.1%, Q1 FY2027 16.6%</t>
        </r>
      </text>
    </comment>
    <comment ref="B29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Source: Peer median, see Comps sheet</t>
        </r>
      </text>
    </comment>
    <comment ref="C32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Source: Analyst assumption. Q2 FY2027 revenue 96.2bn, +41% QoQ annualised, moderating toward terminal</t>
        </r>
      </text>
    </comment>
    <comment ref="D32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Source: Analyst assumption. Q2 FY2027 revenue 96.2bn, +41% QoQ annualised, moderating toward terminal</t>
        </r>
      </text>
    </comment>
    <comment ref="E32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Source: Analyst assumption. Q2 FY2027 revenue 96.2bn, +41% QoQ annualised, moderating toward terminal</t>
        </r>
      </text>
    </comment>
    <comment ref="F32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Source: Analyst assumption. Q2 FY2027 revenue 96.2bn, +41% QoQ annualised, moderating toward terminal</t>
        </r>
      </text>
    </comment>
    <comment ref="G32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Source: Analyst assumption. Q2 FY2027 revenue 96.2bn, +41% QoQ annualised, moderating toward terminal</t>
        </r>
      </text>
    </comment>
    <comment ref="C33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Source: Analyst assumption. Q2 FY2027 revenue 96.2bn, +41% QoQ annualised, moderating toward terminal</t>
        </r>
      </text>
    </comment>
    <comment ref="D33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Source: Analyst assumption. Q2 FY2027 revenue 96.2bn, +41% QoQ annualised, moderating toward terminal</t>
        </r>
      </text>
    </comment>
    <comment ref="E33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Source: Analyst assumption. Q2 FY2027 revenue 96.2bn, +41% QoQ annualised, moderating toward terminal</t>
        </r>
      </text>
    </comment>
    <comment ref="F33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Source: Analyst assumption. Q2 FY2027 revenue 96.2bn, +41% QoQ annualised, moderating toward terminal</t>
        </r>
      </text>
    </comment>
    <comment ref="G33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Source: Analyst assumption. Q2 FY2027 revenue 96.2bn, +41% QoQ annualised, moderating toward terminal</t>
        </r>
      </text>
    </comment>
    <comment ref="C34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Source: Analyst assumption. Q2 FY2027 revenue 96.2bn, +41% QoQ annualised, moderating toward terminal</t>
        </r>
      </text>
    </comment>
    <comment ref="D34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Source: Analyst assumption. Q2 FY2027 revenue 96.2bn, +41% QoQ annualised, moderating toward terminal</t>
        </r>
      </text>
    </comment>
    <comment ref="E34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Source: Analyst assumption. Q2 FY2027 revenue 96.2bn, +41% QoQ annualised, moderating toward terminal</t>
        </r>
      </text>
    </comment>
    <comment ref="F34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Source: Analyst assumption. Q2 FY2027 revenue 96.2bn, +41% QoQ annualised, moderating toward terminal</t>
        </r>
      </text>
    </comment>
    <comment ref="G34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Source: Analyst assumption. Q2 FY2027 revenue 96.2bn, +41% QoQ annualised, moderating toward terminal</t>
        </r>
      </text>
    </comment>
    <comment ref="C35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Source: TTM operating margin 65.2%, easing on competition and product mix</t>
        </r>
      </text>
    </comment>
    <comment ref="D35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Source: TTM operating margin 65.2%, easing on competition and product mix</t>
        </r>
      </text>
    </comment>
    <comment ref="E35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Source: TTM operating margin 65.2%, easing on competition and product mix</t>
        </r>
      </text>
    </comment>
    <comment ref="F35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Source: TTM operating margin 65.2%, easing on competition and product mix</t>
        </r>
      </text>
    </comment>
    <comment ref="G35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Source: TTM operating margin 65.2%, easing on competition and product mix</t>
        </r>
      </text>
    </comment>
    <comment ref="C36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Source: TTM D&amp;A 1.4% of revenue</t>
        </r>
      </text>
    </comment>
    <comment ref="D36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Source: TTM D&amp;A 1.4% of revenue</t>
        </r>
      </text>
    </comment>
    <comment ref="E36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Source: TTM D&amp;A 1.4% of revenue</t>
        </r>
      </text>
    </comment>
    <comment ref="F36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Source: TTM D&amp;A 1.4% of revenue</t>
        </r>
      </text>
    </comment>
    <comment ref="G36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Source: TTM D&amp;A 1.4% of revenue</t>
        </r>
      </text>
    </comment>
    <comment ref="C37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Source: TTM capex 2.2% of revenue, fabless model</t>
        </r>
      </text>
    </comment>
    <comment ref="D37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Source: TTM capex 2.2% of revenue, fabless model</t>
        </r>
      </text>
    </comment>
    <comment ref="E37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Source: TTM capex 2.2% of revenue, fabless model</t>
        </r>
      </text>
    </comment>
    <comment ref="F37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Source: TTM capex 2.2% of revenue, fabless model</t>
        </r>
      </text>
    </comment>
    <comment ref="G37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Source: TTM capex 2.2% of revenue, fabless model</t>
        </r>
      </text>
    </comment>
    <comment ref="C38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Source: FY2026 receivable and inventory build net of payables</t>
        </r>
      </text>
    </comment>
    <comment ref="D38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Source: FY2026 receivable and inventory build net of payables</t>
        </r>
      </text>
    </comment>
    <comment ref="E38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Source: FY2026 receivable and inventory build net of payables</t>
        </r>
      </text>
    </comment>
    <comment ref="F38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Source: FY2026 receivable and inventory build net of payables</t>
        </r>
      </text>
    </comment>
    <comment ref="G38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Source: FY2026 receivable and inventory build net of payables</t>
        </r>
      </text>
    </comment>
    <comment ref="B41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Source: ^TNX close 2026-09-04</t>
        </r>
      </text>
    </comment>
    <comment ref="B42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Source: Yahoo Finance</t>
        </r>
      </text>
    </comment>
    <comment ref="B43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Source: dcf-model skill: 5.0-6.0% market standard</t>
        </r>
      </text>
    </comment>
    <comment ref="B45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Source: FY2026 interest expense 259 / total debt 8,468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dcf-model</author>
  </authors>
  <commentList>
    <comment ref="B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C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D6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E6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F6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G6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H6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B7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C7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D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E7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F7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G7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H7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B8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C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D8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E8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F8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G8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H8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B9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C9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D9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E9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F9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G9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H9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B10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C10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D10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E10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F10" authorId="0" shapeId="0" xr:uid="{00000000-0006-0000-0100-000021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G10" authorId="0" shapeId="0" xr:uid="{00000000-0006-0000-0100-000022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H10" authorId="0" shapeId="0" xr:uid="{00000000-0006-0000-0100-000023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B11" authorId="0" shapeId="0" xr:uid="{00000000-0006-0000-0100-000024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C11" authorId="0" shapeId="0" xr:uid="{00000000-0006-0000-0100-000025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D11" authorId="0" shapeId="0" xr:uid="{00000000-0006-0000-0100-000026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E11" authorId="0" shapeId="0" xr:uid="{00000000-0006-0000-0100-000027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F11" authorId="0" shapeId="0" xr:uid="{00000000-0006-0000-0100-000028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G11" authorId="0" shapeId="0" xr:uid="{00000000-0006-0000-0100-000029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  <comment ref="H11" authorId="0" shapeId="0" xr:uid="{00000000-0006-0000-0100-00002A000000}">
      <text>
        <r>
          <rPr>
            <sz val="11"/>
            <color theme="1"/>
            <rFont val="Calibri"/>
            <family val="2"/>
            <scheme val="minor"/>
          </rPr>
          <t>Source: Yahoo Finance, 2026-09-04</t>
        </r>
      </text>
    </comment>
  </commentList>
</comments>
</file>

<file path=xl/sharedStrings.xml><?xml version="1.0" encoding="utf-8"?>
<sst xmlns="http://schemas.openxmlformats.org/spreadsheetml/2006/main" count="118" uniqueCount="107">
  <si>
    <t>NVIDIA CORPORATION (NASDAQ: NVDA)</t>
  </si>
  <si>
    <t>Discounted Cash Flow Analysis  |  USD millions except per share</t>
  </si>
  <si>
    <t>Base period: TTM ended 2026-07-26 (Q2 FY2027 10-Q, accession 0001045810-26-000075)</t>
  </si>
  <si>
    <t>MARKET DATA AND KEY INPUTS</t>
  </si>
  <si>
    <t>Share price</t>
  </si>
  <si>
    <t>Diluted shares outstanding (M)</t>
  </si>
  <si>
    <t>Market capitalisation</t>
  </si>
  <si>
    <t>Total debt</t>
  </si>
  <si>
    <t>Cash and equivalents</t>
  </si>
  <si>
    <t>Net debt / (net cash)</t>
  </si>
  <si>
    <t>Enterprise value</t>
  </si>
  <si>
    <t>HISTORICAL FINANCIALS (SEC XBRL VIA sec-edgar MCP)</t>
  </si>
  <si>
    <t>Fiscal year</t>
  </si>
  <si>
    <t>FY2023</t>
  </si>
  <si>
    <t>FY2024</t>
  </si>
  <si>
    <t>FY2025</t>
  </si>
  <si>
    <t>FY2026</t>
  </si>
  <si>
    <t>TTM Q2-FY27</t>
  </si>
  <si>
    <t>Revenue</t>
  </si>
  <si>
    <t>Gross profit</t>
  </si>
  <si>
    <t>Operating income</t>
  </si>
  <si>
    <t>D&amp;A</t>
  </si>
  <si>
    <t>Capital expenditure</t>
  </si>
  <si>
    <t>Gross margin</t>
  </si>
  <si>
    <t>Operating margin</t>
  </si>
  <si>
    <t>Revenue growth</t>
  </si>
  <si>
    <t>ASSUMPTIONS  (scenario selector: 1 = Bear, 2 = Base, 3 = Bull)</t>
  </si>
  <si>
    <t>Scenario selector</t>
  </si>
  <si>
    <t>Terminal growth rate</t>
  </si>
  <si>
    <t>Tax rate</t>
  </si>
  <si>
    <t>Exit EV/EBITDA multiple</t>
  </si>
  <si>
    <t>Revenue growth by scenario</t>
  </si>
  <si>
    <t>FY2027E</t>
  </si>
  <si>
    <t>FY2028E</t>
  </si>
  <si>
    <t>FY2029E</t>
  </si>
  <si>
    <t>FY2030E</t>
  </si>
  <si>
    <t>FY2031E</t>
  </si>
  <si>
    <t xml:space="preserve">  Bear case</t>
  </si>
  <si>
    <t xml:space="preserve">  Base case</t>
  </si>
  <si>
    <t xml:space="preserve">  Bull case</t>
  </si>
  <si>
    <t>Operating margin path</t>
  </si>
  <si>
    <t>D&amp;A percent of revenue</t>
  </si>
  <si>
    <t>Capex percent of revenue</t>
  </si>
  <si>
    <t>Change in NWC percent of revenue change</t>
  </si>
  <si>
    <t>WEIGHTED AVERAGE COST OF CAPITAL</t>
  </si>
  <si>
    <t>Risk-free rate (10Y UST)</t>
  </si>
  <si>
    <t>Beta (5Y monthly)</t>
  </si>
  <si>
    <t>Equity risk premium</t>
  </si>
  <si>
    <t>Cost of equity</t>
  </si>
  <si>
    <t>Pre-tax cost of debt</t>
  </si>
  <si>
    <t>After-tax cost of debt</t>
  </si>
  <si>
    <t>Equity weight</t>
  </si>
  <si>
    <t>Debt weight</t>
  </si>
  <si>
    <t>WACC</t>
  </si>
  <si>
    <t>UNLEVERED FREE CASH FLOW PROJECTION</t>
  </si>
  <si>
    <t>TTM</t>
  </si>
  <si>
    <t>EBIT</t>
  </si>
  <si>
    <t>Less: taxes on EBIT</t>
  </si>
  <si>
    <t>NOPAT</t>
  </si>
  <si>
    <t>Plus: D&amp;A</t>
  </si>
  <si>
    <t>Less: capital expenditure</t>
  </si>
  <si>
    <t>Less: change in net working capital</t>
  </si>
  <si>
    <t>Unlevered free cash flow</t>
  </si>
  <si>
    <t>Discount period (mid-year)</t>
  </si>
  <si>
    <t>Discount factor</t>
  </si>
  <si>
    <t>PV of FCF</t>
  </si>
  <si>
    <t>TERMINAL VALUE AND EQUITY BRIDGE</t>
  </si>
  <si>
    <t>Sum of PV of explicit FCF</t>
  </si>
  <si>
    <t>Terminal value (Gordon growth)</t>
  </si>
  <si>
    <t>PV of terminal value (Gordon)</t>
  </si>
  <si>
    <t>Terminal EBITDA (FY2031E)</t>
  </si>
  <si>
    <t>Terminal value (exit multiple)</t>
  </si>
  <si>
    <t>PV of terminal value (exit multiple)</t>
  </si>
  <si>
    <t>Enterprise value (Gordon)</t>
  </si>
  <si>
    <t>Enterprise value (exit multiple)</t>
  </si>
  <si>
    <t>Less: net debt / plus net cash</t>
  </si>
  <si>
    <t>Equity value (Gordon)</t>
  </si>
  <si>
    <t>Equity value (exit multiple)</t>
  </si>
  <si>
    <t>Implied value per share (Gordon)</t>
  </si>
  <si>
    <t>Implied value per share (exit multiple)</t>
  </si>
  <si>
    <t>Upside / (downside) vs price, Gordon</t>
  </si>
  <si>
    <t>Terminal value percent of EV (Gordon)</t>
  </si>
  <si>
    <t>SENSITIVITY: IMPLIED SHARE PRICE, WACC VERSUS TERMINAL GROWTH</t>
  </si>
  <si>
    <t>WACC down / terminal g across</t>
  </si>
  <si>
    <t>SEMICONDUCTOR COMPARABLE COMPANY ANALYSIS</t>
  </si>
  <si>
    <t>USD millions | market data 2026-09-04 | TSM excluded, reports in TWD</t>
  </si>
  <si>
    <t>OPERATING STATISTICS AND VALUATION MULTIPLES</t>
  </si>
  <si>
    <t>Company</t>
  </si>
  <si>
    <t>Price</t>
  </si>
  <si>
    <t>Market cap</t>
  </si>
  <si>
    <t>Revenue (TTM)</t>
  </si>
  <si>
    <t>EBITDA (TTM)</t>
  </si>
  <si>
    <t>EV/EBITDA</t>
  </si>
  <si>
    <t>NVDA</t>
  </si>
  <si>
    <t>AMD</t>
  </si>
  <si>
    <t>AVGO</t>
  </si>
  <si>
    <t>INTC</t>
  </si>
  <si>
    <t>QCOM</t>
  </si>
  <si>
    <t>MU</t>
  </si>
  <si>
    <t>Peer median (excl. NVDA)</t>
  </si>
  <si>
    <t>Peer mean (excl. NVDA)</t>
  </si>
  <si>
    <t>Methodology and limitations</t>
  </si>
  <si>
    <t>EV/EBITDA is the primary multiple: capital structures and tax rates differ across the group.</t>
  </si>
  <si>
    <t>TSM excluded: its ADR trades in USD while statements report in TWD, so its multiples mix currencies.</t>
  </si>
  <si>
    <t>Peer median EV/EBITDA is 29.6x on five clean peers. NVDA at 27.2x is an 8% discount.</t>
  </si>
  <si>
    <t>AMD at 77.0x reflects a depressed EBITDA base; MU operating margin of 80% is a memory cycle peak.</t>
  </si>
  <si>
    <t>Five peers meets the lower bound of the 5 to 10 range, but two of five are distorted. Indicative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</si>
</sst>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0"/>
    <numFmt numFmtId="165" formatCode="#,##0.0"/>
    <numFmt numFmtId="166" formatCode="0.0%"/>
    <numFmt numFmtId="167" formatCode="0.0\x"/>
    <numFmt numFmtId="168" formatCode="0.0"/>
    <numFmt numFmtId="169" formatCode="0.000"/>
  </numFmts>
  <fonts count="9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9"/>
      <name val="Calibri"/>
    </font>
    <font>
      <b/>
      <sz val="11"/>
      <color rgb="FFFFFFFF"/>
      <name val="Calibri"/>
    </font>
    <font>
      <b/>
      <sz val="11"/>
      <color rgb="FF0000FF"/>
      <name val="Calibri"/>
    </font>
    <font>
      <b/>
      <sz val="11"/>
      <name val="Calibri"/>
    </font>
    <font>
      <sz val="11"/>
      <name val="Calibri"/>
    </font>
    <font>
      <b/>
      <sz val="13"/>
      <name val="Calibri"/>
    </font>
    <font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64" fontId="4" fillId="0" borderId="0" xfId="0" applyNumberFormat="1" applyFont="1"/>
    <xf numFmtId="165" fontId="4" fillId="0" borderId="0" xfId="0" applyNumberFormat="1" applyFont="1"/>
    <xf numFmtId="165" fontId="5" fillId="0" borderId="0" xfId="0" applyNumberFormat="1" applyFont="1"/>
    <xf numFmtId="165" fontId="6" fillId="0" borderId="0" xfId="0" applyNumberFormat="1" applyFont="1"/>
    <xf numFmtId="0" fontId="5" fillId="0" borderId="0" xfId="0" applyFont="1"/>
    <xf numFmtId="166" fontId="6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7" fontId="4" fillId="0" borderId="0" xfId="0" applyNumberFormat="1" applyFont="1"/>
    <xf numFmtId="2" fontId="4" fillId="0" borderId="0" xfId="0" applyNumberFormat="1" applyFont="1"/>
    <xf numFmtId="166" fontId="5" fillId="0" borderId="0" xfId="0" applyNumberFormat="1" applyFont="1"/>
    <xf numFmtId="166" fontId="5" fillId="3" borderId="0" xfId="0" applyNumberFormat="1" applyFont="1" applyFill="1"/>
    <xf numFmtId="168" fontId="6" fillId="0" borderId="0" xfId="0" applyNumberFormat="1" applyFont="1"/>
    <xf numFmtId="169" fontId="6" fillId="0" borderId="0" xfId="0" applyNumberFormat="1" applyFont="1"/>
    <xf numFmtId="164" fontId="5" fillId="3" borderId="0" xfId="0" applyNumberFormat="1" applyFont="1" applyFill="1"/>
    <xf numFmtId="164" fontId="6" fillId="0" borderId="1" xfId="0" applyNumberFormat="1" applyFont="1" applyBorder="1"/>
    <xf numFmtId="164" fontId="5" fillId="3" borderId="1" xfId="0" applyNumberFormat="1" applyFont="1" applyFill="1" applyBorder="1"/>
    <xf numFmtId="0" fontId="7" fillId="0" borderId="0" xfId="0" applyFont="1"/>
    <xf numFmtId="167" fontId="6" fillId="0" borderId="0" xfId="0" applyNumberFormat="1" applyFont="1"/>
    <xf numFmtId="167" fontId="5" fillId="0" borderId="0" xfId="0" applyNumberFormat="1" applyFont="1"/>
    <xf numFmtId="0" fontId="8" fillId="0" borderId="0" xfId="0" applyFont="1"/>
    <xf numFmtId="0" fontId="3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tabSelected="1" workbookViewId="0"/>
  </sheetViews>
  <sheetFormatPr defaultRowHeight="14.25" x14ac:dyDescent="0.45"/>
  <cols>
    <col min="1" max="1" width="42" customWidth="1"/>
    <col min="2" max="10" width="14" customWidth="1"/>
  </cols>
  <sheetData>
    <row r="1" spans="1:10" ht="18" x14ac:dyDescent="0.55000000000000004">
      <c r="A1" s="1" t="s">
        <v>0</v>
      </c>
    </row>
    <row r="2" spans="1:10" x14ac:dyDescent="0.45">
      <c r="A2" t="s">
        <v>1</v>
      </c>
    </row>
    <row r="3" spans="1:10" x14ac:dyDescent="0.45">
      <c r="A3" s="2" t="s">
        <v>2</v>
      </c>
    </row>
    <row r="5" spans="1:10" x14ac:dyDescent="0.45">
      <c r="A5" s="24" t="s">
        <v>3</v>
      </c>
      <c r="B5" s="25"/>
      <c r="C5" s="25"/>
      <c r="D5" s="25"/>
      <c r="E5" s="25"/>
      <c r="F5" s="25"/>
      <c r="G5" s="25"/>
      <c r="H5" s="25"/>
      <c r="I5" s="25"/>
      <c r="J5" s="25"/>
    </row>
    <row r="6" spans="1:10" x14ac:dyDescent="0.45">
      <c r="A6" t="s">
        <v>4</v>
      </c>
      <c r="B6" s="3">
        <v>231.71</v>
      </c>
    </row>
    <row r="7" spans="1:10" x14ac:dyDescent="0.45">
      <c r="A7" t="s">
        <v>5</v>
      </c>
      <c r="B7" s="4">
        <v>24514</v>
      </c>
    </row>
    <row r="8" spans="1:10" x14ac:dyDescent="0.45">
      <c r="A8" t="s">
        <v>6</v>
      </c>
      <c r="B8" s="5">
        <f>B6*B7</f>
        <v>5680138.9400000004</v>
      </c>
    </row>
    <row r="9" spans="1:10" x14ac:dyDescent="0.45">
      <c r="A9" t="s">
        <v>7</v>
      </c>
      <c r="B9" s="4">
        <v>8468</v>
      </c>
    </row>
    <row r="10" spans="1:10" x14ac:dyDescent="0.45">
      <c r="A10" t="s">
        <v>8</v>
      </c>
      <c r="B10" s="4">
        <v>10605</v>
      </c>
    </row>
    <row r="11" spans="1:10" x14ac:dyDescent="0.45">
      <c r="A11" t="s">
        <v>9</v>
      </c>
      <c r="B11" s="6">
        <f>B9-B10</f>
        <v>-2137</v>
      </c>
    </row>
    <row r="12" spans="1:10" x14ac:dyDescent="0.45">
      <c r="A12" t="s">
        <v>10</v>
      </c>
      <c r="B12" s="5">
        <f>B8+B11</f>
        <v>5678001.9400000004</v>
      </c>
    </row>
    <row r="14" spans="1:10" x14ac:dyDescent="0.45">
      <c r="A14" s="24" t="s">
        <v>11</v>
      </c>
      <c r="B14" s="25"/>
      <c r="C14" s="25"/>
      <c r="D14" s="25"/>
      <c r="E14" s="25"/>
      <c r="F14" s="25"/>
      <c r="G14" s="25"/>
      <c r="H14" s="25"/>
      <c r="I14" s="25"/>
      <c r="J14" s="25"/>
    </row>
    <row r="15" spans="1:10" x14ac:dyDescent="0.45">
      <c r="A15" t="s">
        <v>12</v>
      </c>
      <c r="B15" s="7" t="s">
        <v>13</v>
      </c>
      <c r="C15" s="7" t="s">
        <v>14</v>
      </c>
      <c r="D15" s="7" t="s">
        <v>15</v>
      </c>
      <c r="E15" s="7" t="s">
        <v>16</v>
      </c>
      <c r="F15" s="7" t="s">
        <v>17</v>
      </c>
    </row>
    <row r="16" spans="1:10" x14ac:dyDescent="0.45">
      <c r="A16" t="s">
        <v>18</v>
      </c>
      <c r="B16" s="4">
        <v>26974</v>
      </c>
      <c r="C16" s="4">
        <v>60922</v>
      </c>
      <c r="D16" s="4">
        <v>130497</v>
      </c>
      <c r="E16" s="4">
        <v>215938</v>
      </c>
      <c r="F16" s="4">
        <v>302948</v>
      </c>
    </row>
    <row r="17" spans="1:10" x14ac:dyDescent="0.45">
      <c r="A17" t="s">
        <v>19</v>
      </c>
      <c r="B17" s="4">
        <v>15356</v>
      </c>
      <c r="C17" s="4">
        <v>44301</v>
      </c>
      <c r="D17" s="4">
        <v>97858</v>
      </c>
      <c r="E17" s="4">
        <v>153463</v>
      </c>
      <c r="F17" s="4">
        <v>226250</v>
      </c>
    </row>
    <row r="18" spans="1:10" x14ac:dyDescent="0.45">
      <c r="A18" t="s">
        <v>20</v>
      </c>
      <c r="B18" s="4">
        <v>4224</v>
      </c>
      <c r="C18" s="4">
        <v>32972</v>
      </c>
      <c r="D18" s="4">
        <v>81453</v>
      </c>
      <c r="E18" s="4">
        <v>130387</v>
      </c>
      <c r="F18" s="4">
        <v>197545</v>
      </c>
    </row>
    <row r="19" spans="1:10" x14ac:dyDescent="0.45">
      <c r="A19" t="s">
        <v>21</v>
      </c>
      <c r="B19" s="4">
        <v>1544</v>
      </c>
      <c r="C19" s="4">
        <v>1508</v>
      </c>
      <c r="D19" s="4">
        <v>1864</v>
      </c>
      <c r="E19" s="4">
        <v>2843</v>
      </c>
      <c r="F19" s="4">
        <v>4240</v>
      </c>
    </row>
    <row r="20" spans="1:10" x14ac:dyDescent="0.45">
      <c r="A20" t="s">
        <v>22</v>
      </c>
      <c r="B20" s="4">
        <v>1833</v>
      </c>
      <c r="C20" s="4">
        <v>1069</v>
      </c>
      <c r="D20" s="4">
        <v>3236</v>
      </c>
      <c r="E20" s="4">
        <v>6042</v>
      </c>
      <c r="F20" s="4">
        <v>6680</v>
      </c>
    </row>
    <row r="21" spans="1:10" x14ac:dyDescent="0.45">
      <c r="A21" t="s">
        <v>23</v>
      </c>
      <c r="B21" s="8">
        <f>B17/B16</f>
        <v>0.56928894490991322</v>
      </c>
      <c r="C21" s="8">
        <f>C17/C16</f>
        <v>0.72717573290436954</v>
      </c>
      <c r="D21" s="8">
        <f>D17/D16</f>
        <v>0.74988697058169917</v>
      </c>
      <c r="E21" s="8">
        <f>E17/E16</f>
        <v>0.71068084357547079</v>
      </c>
      <c r="F21" s="8">
        <f>F17/F16</f>
        <v>0.7468278384409206</v>
      </c>
    </row>
    <row r="22" spans="1:10" x14ac:dyDescent="0.45">
      <c r="A22" t="s">
        <v>24</v>
      </c>
      <c r="B22" s="8">
        <f>B18/B16</f>
        <v>0.1565952398606065</v>
      </c>
      <c r="C22" s="8">
        <f>C18/C16</f>
        <v>0.54121663766783756</v>
      </c>
      <c r="D22" s="8">
        <f>D18/D16</f>
        <v>0.62417526839697468</v>
      </c>
      <c r="E22" s="8">
        <f>E18/E16</f>
        <v>0.60381683631412719</v>
      </c>
      <c r="F22" s="8">
        <f>F18/F16</f>
        <v>0.65207560373397411</v>
      </c>
    </row>
    <row r="23" spans="1:10" x14ac:dyDescent="0.45">
      <c r="A23" t="s">
        <v>25</v>
      </c>
      <c r="C23" s="8">
        <f>C16/B16-1</f>
        <v>1.2585452658115224</v>
      </c>
      <c r="D23" s="8">
        <f>D16/C16-1</f>
        <v>1.1420340763599355</v>
      </c>
      <c r="E23" s="8">
        <f>E16/D16-1</f>
        <v>0.65473535790094783</v>
      </c>
      <c r="F23" s="8">
        <f>F16/E16-1</f>
        <v>0.4029397327010531</v>
      </c>
    </row>
    <row r="25" spans="1:10" x14ac:dyDescent="0.45">
      <c r="A25" s="24" t="s">
        <v>26</v>
      </c>
      <c r="B25" s="25"/>
      <c r="C25" s="25"/>
      <c r="D25" s="25"/>
      <c r="E25" s="25"/>
      <c r="F25" s="25"/>
      <c r="G25" s="25"/>
      <c r="H25" s="25"/>
      <c r="I25" s="25"/>
      <c r="J25" s="25"/>
    </row>
    <row r="26" spans="1:10" x14ac:dyDescent="0.45">
      <c r="A26" t="s">
        <v>27</v>
      </c>
      <c r="B26" s="9">
        <v>2</v>
      </c>
    </row>
    <row r="27" spans="1:10" x14ac:dyDescent="0.45">
      <c r="A27" t="s">
        <v>28</v>
      </c>
      <c r="B27" s="10">
        <v>0.03</v>
      </c>
    </row>
    <row r="28" spans="1:10" x14ac:dyDescent="0.45">
      <c r="A28" t="s">
        <v>29</v>
      </c>
      <c r="B28" s="10">
        <v>0.16</v>
      </c>
    </row>
    <row r="29" spans="1:10" x14ac:dyDescent="0.45">
      <c r="A29" t="s">
        <v>30</v>
      </c>
      <c r="B29" s="11">
        <v>18</v>
      </c>
    </row>
    <row r="31" spans="1:10" x14ac:dyDescent="0.45">
      <c r="A31" s="7" t="s">
        <v>31</v>
      </c>
      <c r="C31" s="7" t="s">
        <v>32</v>
      </c>
      <c r="D31" s="7" t="s">
        <v>33</v>
      </c>
      <c r="E31" s="7" t="s">
        <v>34</v>
      </c>
      <c r="F31" s="7" t="s">
        <v>35</v>
      </c>
      <c r="G31" s="7" t="s">
        <v>36</v>
      </c>
    </row>
    <row r="32" spans="1:10" x14ac:dyDescent="0.45">
      <c r="A32" t="s">
        <v>37</v>
      </c>
      <c r="C32" s="10">
        <v>0.35</v>
      </c>
      <c r="D32" s="10">
        <v>0.15</v>
      </c>
      <c r="E32" s="10">
        <v>0.08</v>
      </c>
      <c r="F32" s="10">
        <v>0.06</v>
      </c>
      <c r="G32" s="10">
        <v>0.05</v>
      </c>
    </row>
    <row r="33" spans="1:10" x14ac:dyDescent="0.45">
      <c r="A33" t="s">
        <v>38</v>
      </c>
      <c r="C33" s="10">
        <v>0.55000000000000004</v>
      </c>
      <c r="D33" s="10">
        <v>0.3</v>
      </c>
      <c r="E33" s="10">
        <v>0.2</v>
      </c>
      <c r="F33" s="10">
        <v>0.14000000000000001</v>
      </c>
      <c r="G33" s="10">
        <v>0.1</v>
      </c>
    </row>
    <row r="34" spans="1:10" x14ac:dyDescent="0.45">
      <c r="A34" t="s">
        <v>39</v>
      </c>
      <c r="C34" s="10">
        <v>0.7</v>
      </c>
      <c r="D34" s="10">
        <v>0.42</v>
      </c>
      <c r="E34" s="10">
        <v>0.3</v>
      </c>
      <c r="F34" s="10">
        <v>0.2</v>
      </c>
      <c r="G34" s="10">
        <v>0.14000000000000001</v>
      </c>
    </row>
    <row r="35" spans="1:10" x14ac:dyDescent="0.45">
      <c r="A35" t="s">
        <v>40</v>
      </c>
      <c r="C35" s="10">
        <v>0.65500000000000003</v>
      </c>
      <c r="D35" s="10">
        <v>0.65</v>
      </c>
      <c r="E35" s="10">
        <v>0.64</v>
      </c>
      <c r="F35" s="10">
        <v>0.63</v>
      </c>
      <c r="G35" s="10">
        <v>0.62</v>
      </c>
    </row>
    <row r="36" spans="1:10" x14ac:dyDescent="0.45">
      <c r="A36" t="s">
        <v>41</v>
      </c>
      <c r="C36" s="10">
        <v>1.4999999999999999E-2</v>
      </c>
      <c r="D36" s="10">
        <v>1.4999999999999999E-2</v>
      </c>
      <c r="E36" s="10">
        <v>1.4999999999999999E-2</v>
      </c>
      <c r="F36" s="10">
        <v>1.4999999999999999E-2</v>
      </c>
      <c r="G36" s="10">
        <v>1.4999999999999999E-2</v>
      </c>
    </row>
    <row r="37" spans="1:10" x14ac:dyDescent="0.45">
      <c r="A37" t="s">
        <v>42</v>
      </c>
      <c r="C37" s="10">
        <v>2.5000000000000001E-2</v>
      </c>
      <c r="D37" s="10">
        <v>2.5000000000000001E-2</v>
      </c>
      <c r="E37" s="10">
        <v>2.4E-2</v>
      </c>
      <c r="F37" s="10">
        <v>2.3E-2</v>
      </c>
      <c r="G37" s="10">
        <v>2.1999999999999999E-2</v>
      </c>
    </row>
    <row r="38" spans="1:10" x14ac:dyDescent="0.45">
      <c r="A38" t="s">
        <v>43</v>
      </c>
      <c r="C38" s="10">
        <v>0.12</v>
      </c>
      <c r="D38" s="10">
        <v>0.12</v>
      </c>
      <c r="E38" s="10">
        <v>0.12</v>
      </c>
      <c r="F38" s="10">
        <v>0.12</v>
      </c>
      <c r="G38" s="10">
        <v>0.12</v>
      </c>
    </row>
    <row r="40" spans="1:10" x14ac:dyDescent="0.45">
      <c r="A40" s="24" t="s">
        <v>44</v>
      </c>
      <c r="B40" s="25"/>
      <c r="C40" s="25"/>
      <c r="D40" s="25"/>
      <c r="E40" s="25"/>
      <c r="F40" s="25"/>
      <c r="G40" s="25"/>
      <c r="H40" s="25"/>
      <c r="I40" s="25"/>
      <c r="J40" s="25"/>
    </row>
    <row r="41" spans="1:10" x14ac:dyDescent="0.45">
      <c r="A41" t="s">
        <v>45</v>
      </c>
      <c r="B41" s="10">
        <v>4.7719999999999999E-2</v>
      </c>
    </row>
    <row r="42" spans="1:10" x14ac:dyDescent="0.45">
      <c r="A42" t="s">
        <v>46</v>
      </c>
      <c r="B42" s="12">
        <v>2.2170000000000001</v>
      </c>
    </row>
    <row r="43" spans="1:10" x14ac:dyDescent="0.45">
      <c r="A43" t="s">
        <v>47</v>
      </c>
      <c r="B43" s="10">
        <v>5.5E-2</v>
      </c>
    </row>
    <row r="44" spans="1:10" x14ac:dyDescent="0.45">
      <c r="A44" t="s">
        <v>48</v>
      </c>
      <c r="B44" s="13">
        <f>B41+B42*B43</f>
        <v>0.169655</v>
      </c>
    </row>
    <row r="45" spans="1:10" x14ac:dyDescent="0.45">
      <c r="A45" t="s">
        <v>49</v>
      </c>
      <c r="B45" s="10">
        <v>3.0599999999999999E-2</v>
      </c>
    </row>
    <row r="46" spans="1:10" x14ac:dyDescent="0.45">
      <c r="A46" t="s">
        <v>50</v>
      </c>
      <c r="B46" s="8">
        <f>B45*(1-B28)</f>
        <v>2.5703999999999998E-2</v>
      </c>
    </row>
    <row r="47" spans="1:10" x14ac:dyDescent="0.45">
      <c r="A47" t="s">
        <v>51</v>
      </c>
      <c r="B47" s="8">
        <f>B8/B12</f>
        <v>1.0003763647886319</v>
      </c>
    </row>
    <row r="48" spans="1:10" x14ac:dyDescent="0.45">
      <c r="A48" t="s">
        <v>52</v>
      </c>
      <c r="B48" s="8">
        <f>B11/B12</f>
        <v>-3.763647886319672E-4</v>
      </c>
    </row>
    <row r="49" spans="1:10" x14ac:dyDescent="0.45">
      <c r="A49" t="s">
        <v>53</v>
      </c>
      <c r="B49" s="14">
        <f>B44*B47+B46*B48</f>
        <v>0.16970917808768834</v>
      </c>
    </row>
    <row r="51" spans="1:10" x14ac:dyDescent="0.45">
      <c r="A51" s="24" t="s">
        <v>54</v>
      </c>
      <c r="B51" s="25"/>
      <c r="C51" s="25"/>
      <c r="D51" s="25"/>
      <c r="E51" s="25"/>
      <c r="F51" s="25"/>
      <c r="G51" s="25"/>
      <c r="H51" s="25"/>
      <c r="I51" s="25"/>
      <c r="J51" s="25"/>
    </row>
    <row r="52" spans="1:10" x14ac:dyDescent="0.45">
      <c r="B52" s="7" t="s">
        <v>55</v>
      </c>
      <c r="C52" s="7" t="s">
        <v>32</v>
      </c>
      <c r="D52" s="7" t="s">
        <v>33</v>
      </c>
      <c r="E52" s="7" t="s">
        <v>34</v>
      </c>
      <c r="F52" s="7" t="s">
        <v>35</v>
      </c>
      <c r="G52" s="7" t="s">
        <v>36</v>
      </c>
    </row>
    <row r="53" spans="1:10" x14ac:dyDescent="0.45">
      <c r="A53" t="s">
        <v>25</v>
      </c>
      <c r="C53" s="8">
        <f>IF($B$26=1,C32,IF($B$26=2,C33,C34))</f>
        <v>0.55000000000000004</v>
      </c>
      <c r="D53" s="8">
        <f>IF($B$26=1,D32,IF($B$26=2,D33,D34))</f>
        <v>0.3</v>
      </c>
      <c r="E53" s="8">
        <f>IF($B$26=1,E32,IF($B$26=2,E33,E34))</f>
        <v>0.2</v>
      </c>
      <c r="F53" s="8">
        <f>IF($B$26=1,F32,IF($B$26=2,F33,F34))</f>
        <v>0.14000000000000001</v>
      </c>
      <c r="G53" s="8">
        <f>IF($B$26=1,G32,IF($B$26=2,G33,G34))</f>
        <v>0.1</v>
      </c>
    </row>
    <row r="54" spans="1:10" x14ac:dyDescent="0.45">
      <c r="A54" t="s">
        <v>18</v>
      </c>
      <c r="B54" s="6">
        <f>F16</f>
        <v>302948</v>
      </c>
      <c r="C54" s="6">
        <f>B54*(1+C53)</f>
        <v>469569.4</v>
      </c>
      <c r="D54" s="6">
        <f>C54*(1+D53)</f>
        <v>610440.22000000009</v>
      </c>
      <c r="E54" s="6">
        <f>D54*(1+E53)</f>
        <v>732528.26400000008</v>
      </c>
      <c r="F54" s="6">
        <f>E54*(1+F53)</f>
        <v>835082.22096000018</v>
      </c>
      <c r="G54" s="6">
        <f>F54*(1+G53)</f>
        <v>918590.44305600028</v>
      </c>
    </row>
    <row r="55" spans="1:10" x14ac:dyDescent="0.45">
      <c r="A55" t="s">
        <v>24</v>
      </c>
      <c r="C55" s="8">
        <f>C35</f>
        <v>0.65500000000000003</v>
      </c>
      <c r="D55" s="8">
        <f>D35</f>
        <v>0.65</v>
      </c>
      <c r="E55" s="8">
        <f>E35</f>
        <v>0.64</v>
      </c>
      <c r="F55" s="8">
        <f>F35</f>
        <v>0.63</v>
      </c>
      <c r="G55" s="8">
        <f>G35</f>
        <v>0.62</v>
      </c>
    </row>
    <row r="56" spans="1:10" x14ac:dyDescent="0.45">
      <c r="A56" t="s">
        <v>56</v>
      </c>
      <c r="C56" s="6">
        <f>C54*C55</f>
        <v>307567.95700000005</v>
      </c>
      <c r="D56" s="6">
        <f>D54*D55</f>
        <v>396786.1430000001</v>
      </c>
      <c r="E56" s="6">
        <f>E54*E55</f>
        <v>468818.08896000008</v>
      </c>
      <c r="F56" s="6">
        <f>F54*F55</f>
        <v>526101.79920480016</v>
      </c>
      <c r="G56" s="6">
        <f>G54*G55</f>
        <v>569526.07469472021</v>
      </c>
    </row>
    <row r="57" spans="1:10" x14ac:dyDescent="0.45">
      <c r="A57" t="s">
        <v>57</v>
      </c>
      <c r="C57" s="6">
        <f>-C56*$B$28</f>
        <v>-49210.873120000011</v>
      </c>
      <c r="D57" s="6">
        <f>-D56*$B$28</f>
        <v>-63485.782880000021</v>
      </c>
      <c r="E57" s="6">
        <f>-E56*$B$28</f>
        <v>-75010.894233600018</v>
      </c>
      <c r="F57" s="6">
        <f>-F56*$B$28</f>
        <v>-84176.287872768022</v>
      </c>
      <c r="G57" s="6">
        <f>-G56*$B$28</f>
        <v>-91124.171951155236</v>
      </c>
    </row>
    <row r="58" spans="1:10" x14ac:dyDescent="0.45">
      <c r="A58" t="s">
        <v>58</v>
      </c>
      <c r="C58" s="5">
        <f>C56+C57</f>
        <v>258357.08388000005</v>
      </c>
      <c r="D58" s="5">
        <f>D56+D57</f>
        <v>333300.36012000008</v>
      </c>
      <c r="E58" s="5">
        <f>E56+E57</f>
        <v>393807.19472640008</v>
      </c>
      <c r="F58" s="5">
        <f>F56+F57</f>
        <v>441925.51133203215</v>
      </c>
      <c r="G58" s="5">
        <f>G56+G57</f>
        <v>478401.90274356498</v>
      </c>
    </row>
    <row r="59" spans="1:10" x14ac:dyDescent="0.45">
      <c r="A59" t="s">
        <v>59</v>
      </c>
      <c r="C59" s="6">
        <f>C54*C36</f>
        <v>7043.5410000000002</v>
      </c>
      <c r="D59" s="6">
        <f>D54*D36</f>
        <v>9156.6033000000007</v>
      </c>
      <c r="E59" s="6">
        <f>E54*E36</f>
        <v>10987.92396</v>
      </c>
      <c r="F59" s="6">
        <f>F54*F36</f>
        <v>12526.233314400002</v>
      </c>
      <c r="G59" s="6">
        <f>G54*G36</f>
        <v>13778.856645840004</v>
      </c>
    </row>
    <row r="60" spans="1:10" x14ac:dyDescent="0.45">
      <c r="A60" t="s">
        <v>60</v>
      </c>
      <c r="C60" s="6">
        <f>-C54*C37</f>
        <v>-11739.235000000001</v>
      </c>
      <c r="D60" s="6">
        <f>-D54*D37</f>
        <v>-15261.005500000003</v>
      </c>
      <c r="E60" s="6">
        <f>-E54*E37</f>
        <v>-17580.678336000001</v>
      </c>
      <c r="F60" s="6">
        <f>-F54*F37</f>
        <v>-19206.891082080005</v>
      </c>
      <c r="G60" s="6">
        <f>-G54*G37</f>
        <v>-20208.989747232004</v>
      </c>
    </row>
    <row r="61" spans="1:10" x14ac:dyDescent="0.45">
      <c r="A61" t="s">
        <v>61</v>
      </c>
      <c r="C61" s="6">
        <f>-(C54-B54)*C38</f>
        <v>-19994.568000000003</v>
      </c>
      <c r="D61" s="6">
        <f>-(D54-C54)*D38</f>
        <v>-16904.498400000008</v>
      </c>
      <c r="E61" s="6">
        <f>-(E54-D54)*E38</f>
        <v>-14650.565279999999</v>
      </c>
      <c r="F61" s="6">
        <f>-(F54-E54)*F38</f>
        <v>-12306.474835200012</v>
      </c>
      <c r="G61" s="6">
        <f>-(G54-F54)*G38</f>
        <v>-10020.986651520012</v>
      </c>
    </row>
    <row r="62" spans="1:10" x14ac:dyDescent="0.45">
      <c r="A62" t="s">
        <v>62</v>
      </c>
      <c r="C62" s="5">
        <f>SUM(C58:C61)</f>
        <v>233666.82188000009</v>
      </c>
      <c r="D62" s="5">
        <f>SUM(D58:D61)</f>
        <v>310291.45952000009</v>
      </c>
      <c r="E62" s="5">
        <f>SUM(E58:E61)</f>
        <v>372563.87507040007</v>
      </c>
      <c r="F62" s="5">
        <f>SUM(F58:F61)</f>
        <v>422938.37872915214</v>
      </c>
      <c r="G62" s="5">
        <f>SUM(G58:G61)</f>
        <v>461950.78299065295</v>
      </c>
    </row>
    <row r="63" spans="1:10" x14ac:dyDescent="0.45">
      <c r="A63" t="s">
        <v>63</v>
      </c>
      <c r="C63" s="15">
        <f>1-0.5</f>
        <v>0.5</v>
      </c>
      <c r="D63" s="15">
        <f>2-0.5</f>
        <v>1.5</v>
      </c>
      <c r="E63" s="15">
        <f>3-0.5</f>
        <v>2.5</v>
      </c>
      <c r="F63" s="15">
        <f>4-0.5</f>
        <v>3.5</v>
      </c>
      <c r="G63" s="15">
        <f>5-0.5</f>
        <v>4.5</v>
      </c>
    </row>
    <row r="64" spans="1:10" x14ac:dyDescent="0.45">
      <c r="A64" t="s">
        <v>64</v>
      </c>
      <c r="C64" s="16">
        <f>1/(1+$B$49)^C63</f>
        <v>0.92461524801913797</v>
      </c>
      <c r="D64" s="16">
        <f>1/(1+$B$49)^D63</f>
        <v>0.79046592549675909</v>
      </c>
      <c r="E64" s="16">
        <f>1/(1+$B$49)^E63</f>
        <v>0.67577987785738414</v>
      </c>
      <c r="F64" s="16">
        <f>1/(1+$B$49)^F63</f>
        <v>0.57773324388391156</v>
      </c>
      <c r="G64" s="16">
        <f>1/(1+$B$49)^G63</f>
        <v>0.49391186690389571</v>
      </c>
    </row>
    <row r="65" spans="1:10" x14ac:dyDescent="0.45">
      <c r="A65" t="s">
        <v>65</v>
      </c>
      <c r="C65" s="6">
        <f>C62*C64</f>
        <v>216051.90646642001</v>
      </c>
      <c r="D65" s="6">
        <f>D62*D64</f>
        <v>245274.82572321704</v>
      </c>
      <c r="E65" s="6">
        <f>E62*E64</f>
        <v>251771.16998914868</v>
      </c>
      <c r="F65" s="6">
        <f>F62*F64</f>
        <v>244345.5615061954</v>
      </c>
      <c r="G65" s="6">
        <f>G62*G64</f>
        <v>228162.97364462979</v>
      </c>
    </row>
    <row r="67" spans="1:10" x14ac:dyDescent="0.45">
      <c r="A67" s="24" t="s">
        <v>66</v>
      </c>
      <c r="B67" s="25"/>
      <c r="C67" s="25"/>
      <c r="D67" s="25"/>
      <c r="E67" s="25"/>
      <c r="F67" s="25"/>
      <c r="G67" s="25"/>
      <c r="H67" s="25"/>
      <c r="I67" s="25"/>
      <c r="J67" s="25"/>
    </row>
    <row r="68" spans="1:10" x14ac:dyDescent="0.45">
      <c r="A68" t="s">
        <v>67</v>
      </c>
      <c r="B68" s="6">
        <f>SUM(C65:G65)</f>
        <v>1185606.437329611</v>
      </c>
    </row>
    <row r="69" spans="1:10" x14ac:dyDescent="0.45">
      <c r="A69" t="s">
        <v>68</v>
      </c>
      <c r="B69" s="6">
        <f>G62*(1+$B$27)/($B$49-$B$27)</f>
        <v>3405712.5880572516</v>
      </c>
    </row>
    <row r="70" spans="1:10" x14ac:dyDescent="0.45">
      <c r="A70" t="s">
        <v>69</v>
      </c>
      <c r="B70" s="6">
        <f>B69*G64</f>
        <v>1682121.8625054555</v>
      </c>
    </row>
    <row r="71" spans="1:10" x14ac:dyDescent="0.45">
      <c r="A71" t="s">
        <v>70</v>
      </c>
      <c r="B71" s="6">
        <f>G56+G59</f>
        <v>583304.9313405602</v>
      </c>
    </row>
    <row r="72" spans="1:10" x14ac:dyDescent="0.45">
      <c r="A72" t="s">
        <v>71</v>
      </c>
      <c r="B72" s="6">
        <f>B71*$B$29</f>
        <v>10499488.764130084</v>
      </c>
    </row>
    <row r="73" spans="1:10" x14ac:dyDescent="0.45">
      <c r="A73" t="s">
        <v>72</v>
      </c>
      <c r="B73" s="6">
        <f>B72*G64</f>
        <v>5185822.0970279668</v>
      </c>
    </row>
    <row r="74" spans="1:10" x14ac:dyDescent="0.45">
      <c r="A74" t="s">
        <v>73</v>
      </c>
      <c r="B74" s="5">
        <f>B68+B70</f>
        <v>2867728.2998350663</v>
      </c>
    </row>
    <row r="75" spans="1:10" x14ac:dyDescent="0.45">
      <c r="A75" t="s">
        <v>74</v>
      </c>
      <c r="B75" s="5">
        <f>B68+B73</f>
        <v>6371428.5343575776</v>
      </c>
    </row>
    <row r="76" spans="1:10" x14ac:dyDescent="0.45">
      <c r="A76" t="s">
        <v>75</v>
      </c>
      <c r="B76" s="6">
        <f>-B11</f>
        <v>2137</v>
      </c>
    </row>
    <row r="77" spans="1:10" x14ac:dyDescent="0.45">
      <c r="A77" t="s">
        <v>76</v>
      </c>
      <c r="B77" s="5">
        <f>B74+B76</f>
        <v>2869865.2998350663</v>
      </c>
    </row>
    <row r="78" spans="1:10" x14ac:dyDescent="0.45">
      <c r="A78" t="s">
        <v>77</v>
      </c>
      <c r="B78" s="5">
        <f>B75+B76</f>
        <v>6373565.5343575776</v>
      </c>
    </row>
    <row r="79" spans="1:10" x14ac:dyDescent="0.45">
      <c r="A79" t="s">
        <v>78</v>
      </c>
      <c r="B79" s="17">
        <f>B77/B7</f>
        <v>117.07046177021564</v>
      </c>
    </row>
    <row r="80" spans="1:10" x14ac:dyDescent="0.45">
      <c r="A80" t="s">
        <v>79</v>
      </c>
      <c r="B80" s="17">
        <f>B78/B7</f>
        <v>259.99696232183965</v>
      </c>
    </row>
    <row r="81" spans="1:10" x14ac:dyDescent="0.45">
      <c r="A81" t="s">
        <v>80</v>
      </c>
      <c r="B81" s="13">
        <f>B79/B6-1</f>
        <v>-0.49475438362515367</v>
      </c>
    </row>
    <row r="82" spans="1:10" x14ac:dyDescent="0.45">
      <c r="A82" t="s">
        <v>81</v>
      </c>
      <c r="B82" s="8">
        <f>B70/B74</f>
        <v>0.58656946775683061</v>
      </c>
    </row>
    <row r="84" spans="1:10" x14ac:dyDescent="0.45">
      <c r="A84" s="24" t="s">
        <v>82</v>
      </c>
      <c r="B84" s="25"/>
      <c r="C84" s="25"/>
      <c r="D84" s="25"/>
      <c r="E84" s="25"/>
      <c r="F84" s="25"/>
      <c r="G84" s="25"/>
      <c r="H84" s="25"/>
      <c r="I84" s="25"/>
      <c r="J84" s="25"/>
    </row>
    <row r="85" spans="1:10" x14ac:dyDescent="0.45">
      <c r="A85" s="7" t="s">
        <v>83</v>
      </c>
      <c r="B85" s="13">
        <f>$B$27+-0.01</f>
        <v>1.9999999999999997E-2</v>
      </c>
      <c r="C85" s="13">
        <f>$B$27+-0.005</f>
        <v>2.4999999999999998E-2</v>
      </c>
      <c r="D85" s="13">
        <f>$B$27+0</f>
        <v>0.03</v>
      </c>
      <c r="E85" s="13">
        <f>$B$27+0.005</f>
        <v>3.4999999999999996E-2</v>
      </c>
      <c r="F85" s="13">
        <f>$B$27+0.01</f>
        <v>0.04</v>
      </c>
    </row>
    <row r="86" spans="1:10" x14ac:dyDescent="0.45">
      <c r="A86" s="13">
        <f>$B$49+-0.02</f>
        <v>0.14970917808768835</v>
      </c>
      <c r="B86" s="18">
        <f>(($C$62/(1+$A$86)^$C$63+$D$62/(1+$A$86)^$D$63+$E$62/(1+$A$86)^$E$63+$F$62/(1+$A$86)^$F$63+$G$62/(1+$A$86)^$G$63)+$G$62*(1+B$85)/($A$86-B$85)/(1+$A$86)^$G$63-$B$11)/$B$7</f>
        <v>129.71187027257969</v>
      </c>
      <c r="C86" s="18">
        <f>(($C$62/(1+$A$86)^$C$63+$D$62/(1+$A$86)^$D$63+$E$62/(1+$A$86)^$E$63+$F$62/(1+$A$86)^$F$63+$G$62/(1+$A$86)^$G$63)+$G$62*(1+C$85)/($A$86-C$85)/(1+$A$86)^$G$63-$B$11)/$B$7</f>
        <v>133.28644525576004</v>
      </c>
      <c r="D86" s="18">
        <f>(($C$62/(1+$A$86)^$C$63+$D$62/(1+$A$86)^$D$63+$E$62/(1+$A$86)^$E$63+$F$62/(1+$A$86)^$F$63+$G$62/(1+$A$86)^$G$63)+$G$62*(1+D$85)/($A$86-D$85)/(1+$A$86)^$G$63-$B$11)/$B$7</f>
        <v>137.15962516132674</v>
      </c>
      <c r="E86" s="18">
        <f>(($C$62/(1+$A$86)^$C$63+$D$62/(1+$A$86)^$D$63+$E$62/(1+$A$86)^$E$63+$F$62/(1+$A$86)^$F$63+$G$62/(1+$A$86)^$G$63)+$G$62*(1+E$85)/($A$86-E$85)/(1+$A$86)^$G$63-$B$11)/$B$7</f>
        <v>141.37045720337773</v>
      </c>
      <c r="F86" s="18">
        <f>(($C$62/(1+$A$86)^$C$63+$D$62/(1+$A$86)^$D$63+$E$62/(1+$A$86)^$E$63+$F$62/(1+$A$86)^$F$63+$G$62/(1+$A$86)^$G$63)+$G$62*(1+F$85)/($A$86-F$85)/(1+$A$86)^$G$63-$B$11)/$B$7</f>
        <v>145.96510690913277</v>
      </c>
    </row>
    <row r="87" spans="1:10" x14ac:dyDescent="0.45">
      <c r="A87" s="13">
        <f>$B$49+-0.01</f>
        <v>0.15970917808768834</v>
      </c>
      <c r="B87" s="18">
        <f>(($C$62/(1+$A$87)^$C$63+$D$62/(1+$A$87)^$D$63+$E$62/(1+$A$87)^$E$63+$F$62/(1+$A$87)^$F$63+$G$62/(1+$A$87)^$G$63)+$G$62*(1+B$85)/($A$87-B$85)/(1+$A$87)^$G$63-$B$11)/$B$7</f>
        <v>120.14225790188799</v>
      </c>
      <c r="C87" s="18">
        <f>(($C$62/(1+$A$87)^$C$63+$D$62/(1+$A$87)^$D$63+$E$62/(1+$A$87)^$E$63+$F$62/(1+$A$87)^$F$63+$G$62/(1+$A$87)^$G$63)+$G$62*(1+C$85)/($A$87-C$85)/(1+$A$87)^$G$63-$B$11)/$B$7</f>
        <v>123.12288452488691</v>
      </c>
      <c r="D87" s="18">
        <f>(($C$62/(1+$A$87)^$C$63+$D$62/(1+$A$87)^$D$63+$E$62/(1+$A$87)^$E$63+$F$62/(1+$A$87)^$F$63+$G$62/(1+$A$87)^$G$63)+$G$62*(1+D$85)/($A$87-D$85)/(1+$A$87)^$G$63-$B$11)/$B$7</f>
        <v>126.33330418697086</v>
      </c>
      <c r="E87" s="18">
        <f>(($C$62/(1+$A$87)^$C$63+$D$62/(1+$A$87)^$D$63+$E$62/(1+$A$87)^$E$63+$F$62/(1+$A$87)^$F$63+$G$62/(1+$A$87)^$G$63)+$G$62*(1+E$85)/($A$87-E$85)/(1+$A$87)^$G$63-$B$11)/$B$7</f>
        <v>129.80115635813814</v>
      </c>
      <c r="F87" s="18">
        <f>(($C$62/(1+$A$87)^$C$63+$D$62/(1+$A$87)^$D$63+$E$62/(1+$A$87)^$E$63+$F$62/(1+$A$87)^$F$63+$G$62/(1+$A$87)^$G$63)+$G$62*(1+F$85)/($A$87-F$85)/(1+$A$87)^$G$63-$B$11)/$B$7</f>
        <v>133.55869827795843</v>
      </c>
    </row>
    <row r="88" spans="1:10" x14ac:dyDescent="0.45">
      <c r="A88" s="13">
        <f>$B$49+0</f>
        <v>0.16970917808768834</v>
      </c>
      <c r="B88" s="18">
        <f>(($C$62/(1+$A$88)^$C$63+$D$62/(1+$A$88)^$D$63+$E$62/(1+$A$88)^$E$63+$F$62/(1+$A$88)^$F$63+$G$62/(1+$A$88)^$G$63)+$G$62*(1+B$85)/($A$88-B$85)/(1+$A$88)^$G$63-$B$11)/$B$7</f>
        <v>111.86528455054737</v>
      </c>
      <c r="C88" s="18">
        <f>(($C$62/(1+$A$88)^$C$63+$D$62/(1+$A$88)^$D$63+$E$62/(1+$A$88)^$E$63+$F$62/(1+$A$88)^$F$63+$G$62/(1+$A$88)^$G$63)+$G$62*(1+C$85)/($A$88-C$85)/(1+$A$88)^$G$63-$B$11)/$B$7</f>
        <v>114.37794836624518</v>
      </c>
      <c r="D88" s="19">
        <f>(($C$62/(1+$A$88)^$C$63+$D$62/(1+$A$88)^$D$63+$E$62/(1+$A$88)^$E$63+$F$62/(1+$A$88)^$F$63+$G$62/(1+$A$88)^$G$63)+$G$62*(1+D$85)/($A$88-D$85)/(1+$A$88)^$G$63-$B$11)/$B$7</f>
        <v>117.07046177021564</v>
      </c>
      <c r="E88" s="18">
        <f>(($C$62/(1+$A$88)^$C$63+$D$62/(1+$A$88)^$D$63+$E$62/(1+$A$88)^$E$63+$F$62/(1+$A$88)^$F$63+$G$62/(1+$A$88)^$G$63)+$G$62*(1+E$85)/($A$88-E$85)/(1+$A$88)^$G$63-$B$11)/$B$7</f>
        <v>119.9628511917072</v>
      </c>
      <c r="F88" s="18">
        <f>(($C$62/(1+$A$88)^$C$63+$D$62/(1+$A$88)^$D$63+$E$62/(1+$A$88)^$E$63+$F$62/(1+$A$88)^$F$63+$G$62/(1+$A$88)^$G$63)+$G$62*(1+F$85)/($A$88-F$85)/(1+$A$88)^$G$63-$B$11)/$B$7</f>
        <v>123.078230956992</v>
      </c>
    </row>
    <row r="89" spans="1:10" x14ac:dyDescent="0.45">
      <c r="A89" s="13">
        <f>$B$49+0.01</f>
        <v>0.17970917808768835</v>
      </c>
      <c r="B89" s="18">
        <f>(($C$62/(1+$A$89)^$C$63+$D$62/(1+$A$89)^$D$63+$E$62/(1+$A$89)^$E$63+$F$62/(1+$A$89)^$F$63+$G$62/(1+$A$89)^$G$63)+$G$62*(1+B$85)/($A$89-B$85)/(1+$A$89)^$G$63-$B$11)/$B$7</f>
        <v>104.63760174642026</v>
      </c>
      <c r="C89" s="18">
        <f>(($C$62/(1+$A$89)^$C$63+$D$62/(1+$A$89)^$D$63+$E$62/(1+$A$89)^$E$63+$F$62/(1+$A$89)^$F$63+$G$62/(1+$A$89)^$G$63)+$G$62*(1+C$85)/($A$89-C$85)/(1+$A$89)^$G$63-$B$11)/$B$7</f>
        <v>106.7760228060382</v>
      </c>
      <c r="D89" s="18">
        <f>(($C$62/(1+$A$89)^$C$63+$D$62/(1+$A$89)^$D$63+$E$62/(1+$A$89)^$E$63+$F$62/(1+$A$89)^$F$63+$G$62/(1+$A$89)^$G$63)+$G$62*(1+D$85)/($A$89-D$85)/(1+$A$89)^$G$63-$B$11)/$B$7</f>
        <v>109.05728220642679</v>
      </c>
      <c r="E89" s="18">
        <f>(($C$62/(1+$A$89)^$C$63+$D$62/(1+$A$89)^$D$63+$E$62/(1+$A$89)^$E$63+$F$62/(1+$A$89)^$F$63+$G$62/(1+$A$89)^$G$63)+$G$62*(1+E$85)/($A$89-E$85)/(1+$A$89)^$G$63-$B$11)/$B$7</f>
        <v>111.49618602374423</v>
      </c>
      <c r="F89" s="18">
        <f>(($C$62/(1+$A$89)^$C$63+$D$62/(1+$A$89)^$D$63+$E$62/(1+$A$89)^$E$63+$F$62/(1+$A$89)^$F$63+$G$62/(1+$A$89)^$G$63)+$G$62*(1+F$85)/($A$89-F$85)/(1+$A$89)^$G$63-$B$11)/$B$7</f>
        <v>114.10965989083938</v>
      </c>
    </row>
    <row r="90" spans="1:10" x14ac:dyDescent="0.45">
      <c r="A90" s="13">
        <f>$B$49+0.02</f>
        <v>0.18970917808768833</v>
      </c>
      <c r="B90" s="18">
        <f>(($C$62/(1+$A$90)^$C$63+$D$62/(1+$A$90)^$D$63+$E$62/(1+$A$90)^$E$63+$F$62/(1+$A$90)^$F$63+$G$62/(1+$A$90)^$G$63)+$G$62*(1+B$85)/($A$90-B$85)/(1+$A$90)^$G$63-$B$11)/$B$7</f>
        <v>98.27324206369677</v>
      </c>
      <c r="C90" s="18">
        <f>(($C$62/(1+$A$90)^$C$63+$D$62/(1+$A$90)^$D$63+$E$62/(1+$A$90)^$E$63+$F$62/(1+$A$90)^$F$63+$G$62/(1+$A$90)^$G$63)+$G$62*(1+C$85)/($A$90-C$85)/(1+$A$90)^$G$63-$B$11)/$B$7</f>
        <v>100.10845118037255</v>
      </c>
      <c r="D90" s="18">
        <f>(($C$62/(1+$A$90)^$C$63+$D$62/(1+$A$90)^$D$63+$E$62/(1+$A$90)^$E$63+$F$62/(1+$A$90)^$F$63+$G$62/(1+$A$90)^$G$63)+$G$62*(1+D$85)/($A$90-D$85)/(1+$A$90)^$G$63-$B$11)/$B$7</f>
        <v>102.0585697304729</v>
      </c>
      <c r="E90" s="18">
        <f>(($C$62/(1+$A$90)^$C$63+$D$62/(1+$A$90)^$D$63+$E$62/(1+$A$90)^$E$63+$F$62/(1+$A$90)^$F$63+$G$62/(1+$A$90)^$G$63)+$G$62*(1+E$85)/($A$90-E$85)/(1+$A$90)^$G$63-$B$11)/$B$7</f>
        <v>104.13473888559908</v>
      </c>
      <c r="F90" s="18">
        <f>(($C$62/(1+$A$90)^$C$63+$D$62/(1+$A$90)^$D$63+$E$62/(1+$A$90)^$E$63+$F$62/(1+$A$90)^$F$63+$G$62/(1+$A$90)^$G$63)+$G$62*(1+F$85)/($A$90-F$85)/(1+$A$90)^$G$63-$B$11)/$B$7</f>
        <v>106.34958819258009</v>
      </c>
    </row>
  </sheetData>
  <mergeCells count="7">
    <mergeCell ref="A5:J5"/>
    <mergeCell ref="A84:J84"/>
    <mergeCell ref="A14:J14"/>
    <mergeCell ref="A40:J40"/>
    <mergeCell ref="A67:J67"/>
    <mergeCell ref="A25:J25"/>
    <mergeCell ref="A51:J5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/>
  </sheetViews>
  <sheetFormatPr defaultRowHeight="14.25" x14ac:dyDescent="0.45"/>
  <cols>
    <col min="1" max="1" width="28" customWidth="1"/>
    <col min="2" max="9" width="16" customWidth="1"/>
  </cols>
  <sheetData>
    <row r="1" spans="1:9" ht="16.899999999999999" x14ac:dyDescent="0.5">
      <c r="A1" s="20" t="s">
        <v>84</v>
      </c>
    </row>
    <row r="2" spans="1:9" x14ac:dyDescent="0.45">
      <c r="A2" s="2" t="s">
        <v>85</v>
      </c>
    </row>
    <row r="4" spans="1:9" x14ac:dyDescent="0.45">
      <c r="A4" s="24" t="s">
        <v>86</v>
      </c>
      <c r="B4" s="25"/>
      <c r="C4" s="25"/>
      <c r="D4" s="25"/>
      <c r="E4" s="25"/>
      <c r="F4" s="25"/>
      <c r="G4" s="25"/>
      <c r="H4" s="25"/>
      <c r="I4" s="25"/>
    </row>
    <row r="5" spans="1:9" x14ac:dyDescent="0.45">
      <c r="A5" s="7" t="s">
        <v>87</v>
      </c>
      <c r="B5" s="7" t="s">
        <v>88</v>
      </c>
      <c r="C5" s="7" t="s">
        <v>89</v>
      </c>
      <c r="D5" s="7" t="s">
        <v>10</v>
      </c>
      <c r="E5" s="7" t="s">
        <v>90</v>
      </c>
      <c r="F5" s="7" t="s">
        <v>91</v>
      </c>
      <c r="G5" s="7" t="s">
        <v>23</v>
      </c>
      <c r="H5" s="7" t="s">
        <v>24</v>
      </c>
      <c r="I5" s="7" t="s">
        <v>92</v>
      </c>
    </row>
    <row r="6" spans="1:9" x14ac:dyDescent="0.45">
      <c r="A6" t="s">
        <v>93</v>
      </c>
      <c r="B6" s="3">
        <v>231.71</v>
      </c>
      <c r="C6" s="4">
        <v>5594859.7000000002</v>
      </c>
      <c r="D6" s="4">
        <v>5482036.0999999996</v>
      </c>
      <c r="E6" s="4">
        <v>302970</v>
      </c>
      <c r="F6" s="4">
        <v>201266</v>
      </c>
      <c r="G6" s="10">
        <v>0.74673999999999996</v>
      </c>
      <c r="H6" s="10">
        <v>0.66237000000000001</v>
      </c>
      <c r="I6" s="21">
        <f t="shared" ref="I6:I11" si="0">IF(N(F6)&gt;0,D6/F6,"nm")</f>
        <v>27.237765444734826</v>
      </c>
    </row>
    <row r="7" spans="1:9" x14ac:dyDescent="0.45">
      <c r="A7" t="s">
        <v>94</v>
      </c>
      <c r="B7" s="3"/>
      <c r="C7" s="4"/>
      <c r="D7" s="4"/>
      <c r="E7" s="4"/>
      <c r="F7" s="4"/>
      <c r="G7" s="10">
        <v>0.55700000000000005</v>
      </c>
      <c r="H7" s="10">
        <v>0.17249999999999999</v>
      </c>
      <c r="I7" s="21" t="str">
        <f t="shared" si="0"/>
        <v>nm</v>
      </c>
    </row>
    <row r="8" spans="1:9" x14ac:dyDescent="0.45">
      <c r="A8" t="s">
        <v>95</v>
      </c>
      <c r="B8" s="3"/>
      <c r="C8" s="4"/>
      <c r="D8" s="4"/>
      <c r="E8" s="4"/>
      <c r="F8" s="4"/>
      <c r="G8" s="10">
        <v>0.755</v>
      </c>
      <c r="H8" s="10">
        <v>0.54300000000000004</v>
      </c>
      <c r="I8" s="21" t="str">
        <f t="shared" si="0"/>
        <v>nm</v>
      </c>
    </row>
    <row r="9" spans="1:9" x14ac:dyDescent="0.45">
      <c r="A9" t="s">
        <v>96</v>
      </c>
      <c r="B9" s="3">
        <v>130.83000000000001</v>
      </c>
      <c r="C9" s="4">
        <v>498794.5</v>
      </c>
      <c r="D9" s="4">
        <v>498794.5</v>
      </c>
      <c r="E9" s="4">
        <v>57032</v>
      </c>
      <c r="F9" s="4">
        <v>16840</v>
      </c>
      <c r="G9" s="10">
        <v>0.38873000000000002</v>
      </c>
      <c r="H9" s="10">
        <v>0.12189999999999999</v>
      </c>
      <c r="I9" s="21">
        <f t="shared" si="0"/>
        <v>29.619625890736341</v>
      </c>
    </row>
    <row r="10" spans="1:9" x14ac:dyDescent="0.45">
      <c r="A10" t="s">
        <v>97</v>
      </c>
      <c r="B10" s="3">
        <v>168.755</v>
      </c>
      <c r="C10" s="4">
        <v>180240.5</v>
      </c>
      <c r="D10" s="4">
        <v>184003.9</v>
      </c>
      <c r="E10" s="4">
        <v>44069</v>
      </c>
      <c r="F10" s="4">
        <v>11999</v>
      </c>
      <c r="G10" s="10">
        <v>0.54225999999999996</v>
      </c>
      <c r="H10" s="10">
        <v>0.18528</v>
      </c>
      <c r="I10" s="21">
        <f t="shared" si="0"/>
        <v>15.334936244687057</v>
      </c>
    </row>
    <row r="11" spans="1:9" x14ac:dyDescent="0.45">
      <c r="A11" t="s">
        <v>98</v>
      </c>
      <c r="B11" s="3">
        <v>999.73</v>
      </c>
      <c r="C11" s="4">
        <v>1129088.2</v>
      </c>
      <c r="D11" s="4">
        <v>1062493.3999999999</v>
      </c>
      <c r="E11" s="4">
        <v>90274</v>
      </c>
      <c r="F11" s="4">
        <v>68222</v>
      </c>
      <c r="G11" s="10">
        <v>0.72568999999999995</v>
      </c>
      <c r="H11" s="10">
        <v>0.80369999999999997</v>
      </c>
      <c r="I11" s="21">
        <f t="shared" si="0"/>
        <v>15.574058221688016</v>
      </c>
    </row>
    <row r="13" spans="1:9" x14ac:dyDescent="0.45">
      <c r="A13" s="7" t="s">
        <v>99</v>
      </c>
      <c r="G13" s="13">
        <f>IF(COUNT(G7:G11)&gt;0,MEDIAN(G7:G11),"nm")</f>
        <v>0.55700000000000005</v>
      </c>
      <c r="H13" s="13">
        <f>IF(COUNT(H7:H11)&gt;0,MEDIAN(H7:H11),"nm")</f>
        <v>0.18528</v>
      </c>
      <c r="I13" s="22">
        <f>IF(COUNT(I7:I11)&gt;0,MEDIAN(I7:I11),"nm")</f>
        <v>15.574058221688016</v>
      </c>
    </row>
    <row r="14" spans="1:9" x14ac:dyDescent="0.45">
      <c r="A14" s="7" t="s">
        <v>100</v>
      </c>
      <c r="G14" s="13">
        <f>IF(COUNT(G7:G11)&gt;0,AVERAGE(G7:G11),"nm")</f>
        <v>0.59373600000000004</v>
      </c>
      <c r="H14" s="13">
        <f>IF(COUNT(H7:H11)&gt;0,AVERAGE(H7:H11),"nm")</f>
        <v>0.36527599999999999</v>
      </c>
      <c r="I14" s="22">
        <f>IF(COUNT(I7:I11)&gt;0,AVERAGE(I7:I11),"nm")</f>
        <v>20.176206785703808</v>
      </c>
    </row>
    <row r="16" spans="1:9" x14ac:dyDescent="0.45">
      <c r="A16" s="7" t="s">
        <v>101</v>
      </c>
    </row>
    <row r="17" spans="1:1" x14ac:dyDescent="0.45">
      <c r="A17" s="23" t="s">
        <v>102</v>
      </c>
    </row>
    <row r="18" spans="1:1" x14ac:dyDescent="0.45">
      <c r="A18" s="23" t="s">
        <v>103</v>
      </c>
    </row>
    <row r="19" spans="1:1" x14ac:dyDescent="0.45">
      <c r="A19" s="23" t="s">
        <v>104</v>
      </c>
    </row>
    <row r="20" spans="1:1" x14ac:dyDescent="0.45">
      <c r="A20" s="23" t="s">
        <v>105</v>
      </c>
    </row>
    <row r="21" spans="1:1" x14ac:dyDescent="0.45">
      <c r="A21" s="23" t="s">
        <v>106</v>
      </c>
    </row>
  </sheetData>
  <mergeCells count="1">
    <mergeCell ref="A4:I4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DCF</vt:lpstr>
      <vt:lpstr>Comps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Arias</cp:lastModifiedBy>
  <dcterms:created xsi:type="dcterms:W3CDTF">2026-09-04T17:17:21Z</dcterms:created>
  <dcterms:modified xsi:type="dcterms:W3CDTF">2026-09-04T17:17:24Z</dcterms:modified>
</cp:coreProperties>
</file>